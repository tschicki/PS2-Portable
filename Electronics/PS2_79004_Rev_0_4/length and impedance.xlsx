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evelopment\Playstation 2\Electronics\PS2_79004_Rev_0_3\"/>
    </mc:Choice>
  </mc:AlternateContent>
  <xr:revisionPtr revIDLastSave="0" documentId="13_ncr:1_{EB205A85-21F8-4EE3-9E1D-F2A3A2CEDED6}" xr6:coauthVersionLast="47" xr6:coauthVersionMax="47" xr10:uidLastSave="{00000000-0000-0000-0000-000000000000}"/>
  <bookViews>
    <workbookView xWindow="39492" yWindow="-108" windowWidth="23256" windowHeight="12456" activeTab="1" xr2:uid="{00000000-000D-0000-FFFF-FFFF00000000}"/>
  </bookViews>
  <sheets>
    <sheet name="Stackup_Impedances" sheetId="2" r:id="rId1"/>
    <sheet name="SDRAM" sheetId="1" r:id="rId2"/>
    <sheet name="Ethernet MDI" sheetId="3" r:id="rId3"/>
    <sheet name="USB+USBC" sheetId="4" r:id="rId4"/>
    <sheet name="Tabelle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E9" i="1"/>
  <c r="E6" i="1"/>
  <c r="F3" i="1"/>
  <c r="E3" i="1"/>
</calcChain>
</file>

<file path=xl/sharedStrings.xml><?xml version="1.0" encoding="utf-8"?>
<sst xmlns="http://schemas.openxmlformats.org/spreadsheetml/2006/main" count="112" uniqueCount="88">
  <si>
    <t>DQ0</t>
  </si>
  <si>
    <t>top</t>
  </si>
  <si>
    <t>DQ3</t>
  </si>
  <si>
    <t>DQ2</t>
  </si>
  <si>
    <t>DQ4</t>
  </si>
  <si>
    <t>DQ1</t>
  </si>
  <si>
    <t>DQ5</t>
  </si>
  <si>
    <t>DQ7</t>
  </si>
  <si>
    <t>DQM0</t>
  </si>
  <si>
    <t>WE</t>
  </si>
  <si>
    <t>RAS</t>
  </si>
  <si>
    <t>CE</t>
  </si>
  <si>
    <t>A11</t>
  </si>
  <si>
    <t>BA1</t>
  </si>
  <si>
    <t>A0</t>
  </si>
  <si>
    <t>DQM2</t>
  </si>
  <si>
    <t>DQ18</t>
  </si>
  <si>
    <t>DQ20</t>
  </si>
  <si>
    <t>DQ21</t>
  </si>
  <si>
    <t>DQ19</t>
  </si>
  <si>
    <t>DQ23</t>
  </si>
  <si>
    <t>DQ13</t>
  </si>
  <si>
    <t>DQ15</t>
  </si>
  <si>
    <t>DQ11</t>
  </si>
  <si>
    <t>DQ14</t>
  </si>
  <si>
    <t>DQ12</t>
  </si>
  <si>
    <t>DQ10</t>
  </si>
  <si>
    <t>DQ9</t>
  </si>
  <si>
    <t>A9</t>
  </si>
  <si>
    <t>A7</t>
  </si>
  <si>
    <t>A8</t>
  </si>
  <si>
    <t>A5</t>
  </si>
  <si>
    <t>A6</t>
  </si>
  <si>
    <t>A4</t>
  </si>
  <si>
    <t>A3</t>
  </si>
  <si>
    <t>DQM3</t>
  </si>
  <si>
    <t>DQ29</t>
  </si>
  <si>
    <t>DQ30</t>
  </si>
  <si>
    <t>DQ27</t>
  </si>
  <si>
    <t>DQ25</t>
  </si>
  <si>
    <t>back</t>
  </si>
  <si>
    <t>DQ6</t>
  </si>
  <si>
    <t>DQM1</t>
  </si>
  <si>
    <t>DQ8</t>
  </si>
  <si>
    <t>CLK</t>
  </si>
  <si>
    <t>CKE</t>
  </si>
  <si>
    <t>CAS</t>
  </si>
  <si>
    <t>BA0</t>
  </si>
  <si>
    <t>A10</t>
  </si>
  <si>
    <t>DQ31</t>
  </si>
  <si>
    <t>DQ28</t>
  </si>
  <si>
    <t>DQ24</t>
  </si>
  <si>
    <t>DQ26</t>
  </si>
  <si>
    <t>DQ16</t>
  </si>
  <si>
    <t>A2</t>
  </si>
  <si>
    <t>DQ17</t>
  </si>
  <si>
    <t>DQ22</t>
  </si>
  <si>
    <t>Stackup:</t>
  </si>
  <si>
    <t>50R</t>
  </si>
  <si>
    <t>single ended impedances:</t>
  </si>
  <si>
    <t>bot</t>
  </si>
  <si>
    <t>n/a</t>
  </si>
  <si>
    <t>0,1344*</t>
  </si>
  <si>
    <t>*assuming gnd on both adjacent layers</t>
  </si>
  <si>
    <t>68R</t>
  </si>
  <si>
    <t>60R</t>
  </si>
  <si>
    <t>ethernet:</t>
  </si>
  <si>
    <t>100R Zdiff; 50R Zo; both+-10%</t>
  </si>
  <si>
    <t>length: within 1,27mm (RX/TX)</t>
  </si>
  <si>
    <t>keep below 5 cm total length</t>
  </si>
  <si>
    <t>coplanar clearance 5*w = 0,6mm</t>
  </si>
  <si>
    <t>routed on top layer</t>
  </si>
  <si>
    <t>USB Zdiff/Zo: 90R/45R +-15%</t>
  </si>
  <si>
    <t>USB routed on bot layer for PS2</t>
  </si>
  <si>
    <t>USB routed on layer3 for SysCon</t>
  </si>
  <si>
    <t>USB-C CC lines: 50R single ended -&gt; 0,125mm trace width is sufficient for layer 3</t>
  </si>
  <si>
    <t>the minimum of setup/hold time in the SDRAM DTS is 800ps</t>
  </si>
  <si>
    <t>for outer layers:</t>
  </si>
  <si>
    <t>for layer 3:</t>
  </si>
  <si>
    <t>signal propagation speed should be around 6-7ps/mm (very roughly)</t>
  </si>
  <si>
    <t>10% of the setup/hold time is 80ps, or about 12mm</t>
  </si>
  <si>
    <t>impedance target for all signals should be in the range of 60R</t>
  </si>
  <si>
    <t>at 150MHz and such short traces, length matching most likely doesn't matter much, so based on that napkin math a length mismatch of about +-6mm should be fine for all signals</t>
  </si>
  <si>
    <t>min</t>
  </si>
  <si>
    <t>max</t>
  </si>
  <si>
    <t>clk</t>
  </si>
  <si>
    <t>clk+6</t>
  </si>
  <si>
    <t>clk-6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</si>
</sst>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1</xdr:row>
      <xdr:rowOff>34178</xdr:rowOff>
    </xdr:from>
    <xdr:to>
      <xdr:col>14</xdr:col>
      <xdr:colOff>194311</xdr:colOff>
      <xdr:row>19</xdr:row>
      <xdr:rowOff>34855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1267766-385D-3DEE-483F-69F97FE73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1" y="224678"/>
          <a:ext cx="10820400" cy="3416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605989</xdr:colOff>
      <xdr:row>11</xdr:row>
      <xdr:rowOff>173355</xdr:rowOff>
    </xdr:from>
    <xdr:to>
      <xdr:col>16</xdr:col>
      <xdr:colOff>71723</xdr:colOff>
      <xdr:row>32</xdr:row>
      <xdr:rowOff>4665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3936F32-AC48-9199-832D-1D063325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3589" y="2268855"/>
          <a:ext cx="5554114" cy="38375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575819</xdr:colOff>
      <xdr:row>12</xdr:row>
      <xdr:rowOff>5705</xdr:rowOff>
    </xdr:from>
    <xdr:to>
      <xdr:col>25</xdr:col>
      <xdr:colOff>534634</xdr:colOff>
      <xdr:row>31</xdr:row>
      <xdr:rowOff>186690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4F0972C-19D2-9183-1CEB-881BCEC0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9419" y="2291705"/>
          <a:ext cx="5445215" cy="3800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375284</xdr:colOff>
      <xdr:row>1</xdr:row>
      <xdr:rowOff>10683</xdr:rowOff>
    </xdr:from>
    <xdr:to>
      <xdr:col>8</xdr:col>
      <xdr:colOff>292692</xdr:colOff>
      <xdr:row>23</xdr:row>
      <xdr:rowOff>187560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DAA2F29-C5F4-7890-17E8-299E213D9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6484" y="201183"/>
          <a:ext cx="6165808" cy="43678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7</xdr:row>
      <xdr:rowOff>18524</xdr:rowOff>
    </xdr:from>
    <xdr:to>
      <xdr:col>8</xdr:col>
      <xdr:colOff>641314</xdr:colOff>
      <xdr:row>31</xdr:row>
      <xdr:rowOff>187562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AF62BF2-8759-4C59-F166-41655310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352024"/>
          <a:ext cx="6708739" cy="4737228"/>
        </a:xfrm>
        <a:prstGeom prst="rect">
          <a:avLst/>
        </a:prstGeom>
      </xdr:spPr>
    </xdr:pic>
    <xdr:clientData/>
  </xdr:twoCellAnchor>
  <xdr:twoCellAnchor editAs="oneCell">
    <xdr:from>
      <xdr:col>8</xdr:col>
      <xdr:colOff>755277</xdr:colOff>
      <xdr:row>7</xdr:row>
      <xdr:rowOff>19550</xdr:rowOff>
    </xdr:from>
    <xdr:to>
      <xdr:col>17</xdr:col>
      <xdr:colOff>733537</xdr:colOff>
      <xdr:row>31</xdr:row>
      <xdr:rowOff>174658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44A55E6-F487-5455-AFC5-8A56A0467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1277" y="1353050"/>
          <a:ext cx="6838165" cy="4723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D066-FDC7-40D5-B035-114847F27C32}">
  <dimension ref="A1:L34"/>
  <sheetViews>
    <sheetView topLeftCell="A9" workbookViewId="0">
      <selection activeCell="B27" sqref="B27"/>
    </sheetView>
  </sheetViews>
  <sheetFormatPr baseColWidth="10" defaultRowHeight="15" x14ac:dyDescent="0.25"/>
  <sheetData>
    <row r="1" spans="1:1" x14ac:dyDescent="0.25">
      <c r="A1" t="s">
        <v>57</v>
      </c>
    </row>
    <row r="21" spans="1:12" x14ac:dyDescent="0.25">
      <c r="A21" t="s">
        <v>59</v>
      </c>
    </row>
    <row r="24" spans="1:12" x14ac:dyDescent="0.25">
      <c r="A24" s="3"/>
      <c r="B24" s="3" t="s">
        <v>1</v>
      </c>
      <c r="C24" s="3">
        <v>2</v>
      </c>
      <c r="D24" s="3">
        <v>3</v>
      </c>
      <c r="E24" s="3">
        <v>4</v>
      </c>
      <c r="F24" s="3">
        <v>5</v>
      </c>
      <c r="G24" s="3" t="s">
        <v>60</v>
      </c>
    </row>
    <row r="25" spans="1:12" x14ac:dyDescent="0.25">
      <c r="A25" s="3" t="s">
        <v>58</v>
      </c>
      <c r="B25" s="3">
        <v>0.1565</v>
      </c>
      <c r="C25" s="3" t="s">
        <v>61</v>
      </c>
      <c r="D25" s="3" t="s">
        <v>62</v>
      </c>
      <c r="E25" s="3" t="s">
        <v>62</v>
      </c>
      <c r="F25" s="3" t="s">
        <v>61</v>
      </c>
      <c r="G25" s="3">
        <v>0.1565</v>
      </c>
      <c r="L25" t="s">
        <v>63</v>
      </c>
    </row>
    <row r="26" spans="1:12" x14ac:dyDescent="0.25">
      <c r="A26" s="1" t="s">
        <v>64</v>
      </c>
      <c r="B26" s="1">
        <v>7.2099999999999997E-2</v>
      </c>
      <c r="C26" s="3" t="s">
        <v>61</v>
      </c>
      <c r="D26" s="1" t="s">
        <v>61</v>
      </c>
      <c r="E26" s="1" t="s">
        <v>61</v>
      </c>
      <c r="F26" s="3" t="s">
        <v>61</v>
      </c>
      <c r="G26" s="1">
        <v>7.2099999999999997E-2</v>
      </c>
    </row>
    <row r="27" spans="1:12" x14ac:dyDescent="0.25">
      <c r="A27" s="1" t="s">
        <v>65</v>
      </c>
      <c r="B27" s="1">
        <v>0.1026</v>
      </c>
      <c r="C27" s="3" t="s">
        <v>61</v>
      </c>
      <c r="D27" s="1">
        <v>8.8099999999999998E-2</v>
      </c>
      <c r="E27" s="1">
        <v>8.8099999999999998E-2</v>
      </c>
      <c r="F27" s="3" t="s">
        <v>61</v>
      </c>
      <c r="G27" s="1">
        <v>0.1026</v>
      </c>
    </row>
    <row r="28" spans="1:12" x14ac:dyDescent="0.25">
      <c r="A28" s="1"/>
      <c r="B28" s="1"/>
      <c r="C28" s="3" t="s">
        <v>61</v>
      </c>
      <c r="D28" s="1"/>
      <c r="E28" s="1"/>
      <c r="F28" s="3" t="s">
        <v>61</v>
      </c>
      <c r="G28" s="1"/>
    </row>
    <row r="29" spans="1:12" x14ac:dyDescent="0.25">
      <c r="A29" s="1"/>
      <c r="B29" s="1"/>
      <c r="C29" s="3" t="s">
        <v>61</v>
      </c>
      <c r="D29" s="1"/>
      <c r="E29" s="1"/>
      <c r="F29" s="3" t="s">
        <v>61</v>
      </c>
      <c r="G29" s="1"/>
    </row>
    <row r="30" spans="1:12" x14ac:dyDescent="0.25">
      <c r="A30" s="1"/>
      <c r="B30" s="1"/>
      <c r="C30" s="3" t="s">
        <v>61</v>
      </c>
      <c r="D30" s="1"/>
      <c r="E30" s="1"/>
      <c r="F30" s="3" t="s">
        <v>61</v>
      </c>
      <c r="G30" s="1"/>
    </row>
    <row r="31" spans="1:12" x14ac:dyDescent="0.25">
      <c r="A31" s="1"/>
      <c r="B31" s="1"/>
      <c r="C31" s="3" t="s">
        <v>61</v>
      </c>
      <c r="D31" s="1"/>
      <c r="E31" s="1"/>
      <c r="F31" s="3" t="s">
        <v>61</v>
      </c>
      <c r="G31" s="1"/>
    </row>
    <row r="32" spans="1:12" x14ac:dyDescent="0.25">
      <c r="A32" s="1"/>
      <c r="B32" s="1"/>
      <c r="C32" s="3" t="s">
        <v>61</v>
      </c>
      <c r="D32" s="1"/>
      <c r="E32" s="1"/>
      <c r="F32" s="3" t="s">
        <v>61</v>
      </c>
      <c r="G32" s="1"/>
    </row>
    <row r="33" spans="1:7" x14ac:dyDescent="0.25">
      <c r="A33" s="1"/>
      <c r="B33" s="1"/>
      <c r="C33" s="3" t="s">
        <v>61</v>
      </c>
      <c r="D33" s="1"/>
      <c r="E33" s="1"/>
      <c r="F33" s="3" t="s">
        <v>61</v>
      </c>
      <c r="G33" s="1"/>
    </row>
    <row r="34" spans="1:7" x14ac:dyDescent="0.25">
      <c r="A34" s="1"/>
      <c r="B34" s="1"/>
      <c r="C34" s="3" t="s">
        <v>61</v>
      </c>
      <c r="D34" s="1"/>
      <c r="E34" s="1"/>
      <c r="F34" s="3" t="s">
        <v>61</v>
      </c>
      <c r="G34" s="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zoomScaleNormal="100" workbookViewId="0">
      <selection activeCell="E3" sqref="E3"/>
    </sheetView>
  </sheetViews>
  <sheetFormatPr baseColWidth="10" defaultColWidth="9.140625" defaultRowHeight="15" x14ac:dyDescent="0.25"/>
  <sheetData>
    <row r="1" spans="1:18" x14ac:dyDescent="0.25">
      <c r="A1" s="2" t="s">
        <v>1</v>
      </c>
      <c r="B1" t="s">
        <v>0</v>
      </c>
      <c r="C1">
        <v>20.329999999999998</v>
      </c>
    </row>
    <row r="2" spans="1:18" x14ac:dyDescent="0.25">
      <c r="A2" s="2"/>
      <c r="B2" t="s">
        <v>2</v>
      </c>
      <c r="C2">
        <v>20.7</v>
      </c>
      <c r="E2" t="s">
        <v>83</v>
      </c>
      <c r="F2" t="s">
        <v>84</v>
      </c>
    </row>
    <row r="3" spans="1:18" x14ac:dyDescent="0.25">
      <c r="A3" s="2"/>
      <c r="B3" t="s">
        <v>3</v>
      </c>
      <c r="C3">
        <v>17.97</v>
      </c>
      <c r="E3">
        <f>MIN(C1:C56)</f>
        <v>16.149999999999999</v>
      </c>
      <c r="F3">
        <f>MAX(C1:C56)</f>
        <v>23.63</v>
      </c>
      <c r="H3" t="s">
        <v>79</v>
      </c>
    </row>
    <row r="4" spans="1:18" x14ac:dyDescent="0.25">
      <c r="A4" s="2"/>
      <c r="B4" t="s">
        <v>4</v>
      </c>
      <c r="C4">
        <v>17.079999999999998</v>
      </c>
      <c r="H4" t="s">
        <v>76</v>
      </c>
    </row>
    <row r="5" spans="1:18" x14ac:dyDescent="0.25">
      <c r="A5" s="2"/>
      <c r="B5" t="s">
        <v>5</v>
      </c>
      <c r="C5">
        <v>18.16</v>
      </c>
      <c r="E5" t="s">
        <v>85</v>
      </c>
    </row>
    <row r="6" spans="1:18" x14ac:dyDescent="0.25">
      <c r="A6" s="2"/>
      <c r="B6" t="s">
        <v>6</v>
      </c>
      <c r="C6">
        <v>17.38</v>
      </c>
      <c r="E6">
        <f>C44</f>
        <v>20.190000000000001</v>
      </c>
      <c r="H6" t="s">
        <v>80</v>
      </c>
    </row>
    <row r="7" spans="1:18" x14ac:dyDescent="0.25">
      <c r="A7" s="2"/>
      <c r="B7" t="s">
        <v>7</v>
      </c>
      <c r="C7">
        <v>19.39</v>
      </c>
      <c r="H7" t="s">
        <v>82</v>
      </c>
    </row>
    <row r="8" spans="1:18" x14ac:dyDescent="0.25">
      <c r="A8" s="2"/>
      <c r="B8" t="s">
        <v>8</v>
      </c>
      <c r="C8">
        <v>17.239999999999998</v>
      </c>
      <c r="E8" t="s">
        <v>86</v>
      </c>
      <c r="F8" t="s">
        <v>87</v>
      </c>
    </row>
    <row r="9" spans="1:18" x14ac:dyDescent="0.25">
      <c r="A9" s="2"/>
      <c r="B9" t="s">
        <v>9</v>
      </c>
      <c r="C9">
        <v>16.989999999999998</v>
      </c>
      <c r="E9">
        <f>E6+6</f>
        <v>26.19</v>
      </c>
      <c r="F9">
        <f>E6-6</f>
        <v>14.190000000000001</v>
      </c>
      <c r="H9" t="s">
        <v>81</v>
      </c>
    </row>
    <row r="10" spans="1:18" x14ac:dyDescent="0.25">
      <c r="A10" s="2"/>
      <c r="B10" t="s">
        <v>10</v>
      </c>
      <c r="C10">
        <v>17.07</v>
      </c>
    </row>
    <row r="11" spans="1:18" x14ac:dyDescent="0.25">
      <c r="A11" s="2"/>
      <c r="B11" t="s">
        <v>11</v>
      </c>
      <c r="C11">
        <v>16.48</v>
      </c>
      <c r="H11" t="s">
        <v>77</v>
      </c>
      <c r="R11" t="s">
        <v>78</v>
      </c>
    </row>
    <row r="12" spans="1:18" x14ac:dyDescent="0.25">
      <c r="A12" s="2"/>
      <c r="B12" t="s">
        <v>12</v>
      </c>
      <c r="C12">
        <v>17.95</v>
      </c>
    </row>
    <row r="13" spans="1:18" x14ac:dyDescent="0.25">
      <c r="A13" s="2"/>
      <c r="B13" t="s">
        <v>13</v>
      </c>
      <c r="C13">
        <v>19.739999999999998</v>
      </c>
    </row>
    <row r="14" spans="1:18" x14ac:dyDescent="0.25">
      <c r="A14" s="2"/>
      <c r="B14" t="s">
        <v>12</v>
      </c>
      <c r="C14">
        <v>17.77</v>
      </c>
    </row>
    <row r="15" spans="1:18" x14ac:dyDescent="0.25">
      <c r="A15" s="2"/>
      <c r="B15" t="s">
        <v>14</v>
      </c>
      <c r="C15">
        <v>18.28</v>
      </c>
    </row>
    <row r="16" spans="1:18" x14ac:dyDescent="0.25">
      <c r="A16" s="2"/>
      <c r="B16" t="s">
        <v>15</v>
      </c>
      <c r="C16">
        <v>19.079999999999998</v>
      </c>
    </row>
    <row r="17" spans="1:3" x14ac:dyDescent="0.25">
      <c r="A17" s="2"/>
      <c r="B17" t="s">
        <v>16</v>
      </c>
      <c r="C17">
        <v>17.09</v>
      </c>
    </row>
    <row r="18" spans="1:3" x14ac:dyDescent="0.25">
      <c r="A18" s="2"/>
      <c r="B18" t="s">
        <v>17</v>
      </c>
      <c r="C18">
        <v>18.34</v>
      </c>
    </row>
    <row r="19" spans="1:3" x14ac:dyDescent="0.25">
      <c r="A19" s="2"/>
      <c r="B19" t="s">
        <v>18</v>
      </c>
      <c r="C19">
        <v>16.149999999999999</v>
      </c>
    </row>
    <row r="20" spans="1:3" x14ac:dyDescent="0.25">
      <c r="A20" s="2"/>
      <c r="B20" t="s">
        <v>19</v>
      </c>
      <c r="C20">
        <v>20.16</v>
      </c>
    </row>
    <row r="21" spans="1:3" x14ac:dyDescent="0.25">
      <c r="A21" s="2"/>
      <c r="B21" t="s">
        <v>20</v>
      </c>
      <c r="C21">
        <v>18.84</v>
      </c>
    </row>
    <row r="22" spans="1:3" x14ac:dyDescent="0.25">
      <c r="A22" s="2">
        <v>2</v>
      </c>
      <c r="B22" t="s">
        <v>21</v>
      </c>
      <c r="C22">
        <v>21.98</v>
      </c>
    </row>
    <row r="23" spans="1:3" x14ac:dyDescent="0.25">
      <c r="A23" s="2"/>
      <c r="B23" t="s">
        <v>22</v>
      </c>
      <c r="C23">
        <v>19.940000000000001</v>
      </c>
    </row>
    <row r="24" spans="1:3" x14ac:dyDescent="0.25">
      <c r="A24" s="2"/>
      <c r="B24" t="s">
        <v>23</v>
      </c>
      <c r="C24">
        <v>19.55</v>
      </c>
    </row>
    <row r="25" spans="1:3" x14ac:dyDescent="0.25">
      <c r="A25" s="2"/>
      <c r="B25" t="s">
        <v>24</v>
      </c>
      <c r="C25">
        <v>21.19</v>
      </c>
    </row>
    <row r="26" spans="1:3" x14ac:dyDescent="0.25">
      <c r="A26" s="2"/>
      <c r="B26" t="s">
        <v>25</v>
      </c>
      <c r="C26">
        <v>19.96</v>
      </c>
    </row>
    <row r="27" spans="1:3" x14ac:dyDescent="0.25">
      <c r="A27" s="2"/>
      <c r="B27" t="s">
        <v>26</v>
      </c>
      <c r="C27">
        <v>19.97</v>
      </c>
    </row>
    <row r="28" spans="1:3" x14ac:dyDescent="0.25">
      <c r="A28" s="2"/>
      <c r="B28" t="s">
        <v>27</v>
      </c>
      <c r="C28">
        <v>21.16</v>
      </c>
    </row>
    <row r="29" spans="1:3" x14ac:dyDescent="0.25">
      <c r="A29" s="2"/>
      <c r="B29" t="s">
        <v>28</v>
      </c>
      <c r="C29">
        <v>20.18</v>
      </c>
    </row>
    <row r="30" spans="1:3" x14ac:dyDescent="0.25">
      <c r="A30" s="2"/>
      <c r="B30" t="s">
        <v>29</v>
      </c>
      <c r="C30">
        <v>21.78</v>
      </c>
    </row>
    <row r="31" spans="1:3" x14ac:dyDescent="0.25">
      <c r="A31" s="2"/>
      <c r="B31" t="s">
        <v>30</v>
      </c>
      <c r="C31">
        <v>19.79</v>
      </c>
    </row>
    <row r="32" spans="1:3" x14ac:dyDescent="0.25">
      <c r="A32" s="2"/>
      <c r="B32" t="s">
        <v>31</v>
      </c>
      <c r="C32">
        <v>21</v>
      </c>
    </row>
    <row r="33" spans="1:3" x14ac:dyDescent="0.25">
      <c r="A33" s="2"/>
      <c r="B33" t="s">
        <v>32</v>
      </c>
      <c r="C33">
        <v>19.16</v>
      </c>
    </row>
    <row r="34" spans="1:3" x14ac:dyDescent="0.25">
      <c r="A34" s="2"/>
      <c r="B34" t="s">
        <v>33</v>
      </c>
      <c r="C34">
        <v>22.29</v>
      </c>
    </row>
    <row r="35" spans="1:3" x14ac:dyDescent="0.25">
      <c r="A35" s="2"/>
      <c r="B35" t="s">
        <v>34</v>
      </c>
      <c r="C35">
        <v>18.84</v>
      </c>
    </row>
    <row r="36" spans="1:3" x14ac:dyDescent="0.25">
      <c r="A36" s="2"/>
      <c r="B36" t="s">
        <v>35</v>
      </c>
      <c r="C36">
        <v>20.94</v>
      </c>
    </row>
    <row r="37" spans="1:3" x14ac:dyDescent="0.25">
      <c r="A37" s="2"/>
      <c r="B37" t="s">
        <v>36</v>
      </c>
      <c r="C37">
        <v>20.05</v>
      </c>
    </row>
    <row r="38" spans="1:3" x14ac:dyDescent="0.25">
      <c r="A38" s="2"/>
      <c r="B38" t="s">
        <v>37</v>
      </c>
      <c r="C38">
        <v>21.24</v>
      </c>
    </row>
    <row r="39" spans="1:3" x14ac:dyDescent="0.25">
      <c r="A39" s="2"/>
      <c r="B39" t="s">
        <v>38</v>
      </c>
      <c r="C39">
        <v>22.76</v>
      </c>
    </row>
    <row r="40" spans="1:3" x14ac:dyDescent="0.25">
      <c r="A40" s="2"/>
      <c r="B40" t="s">
        <v>39</v>
      </c>
      <c r="C40">
        <v>23.63</v>
      </c>
    </row>
    <row r="41" spans="1:3" x14ac:dyDescent="0.25">
      <c r="A41" s="2" t="s">
        <v>40</v>
      </c>
      <c r="B41" t="s">
        <v>41</v>
      </c>
      <c r="C41">
        <v>21.23</v>
      </c>
    </row>
    <row r="42" spans="1:3" x14ac:dyDescent="0.25">
      <c r="A42" s="2"/>
      <c r="B42" t="s">
        <v>42</v>
      </c>
      <c r="C42">
        <v>19.43</v>
      </c>
    </row>
    <row r="43" spans="1:3" x14ac:dyDescent="0.25">
      <c r="A43" s="2"/>
      <c r="B43" t="s">
        <v>43</v>
      </c>
      <c r="C43">
        <v>20.91</v>
      </c>
    </row>
    <row r="44" spans="1:3" x14ac:dyDescent="0.25">
      <c r="A44" s="2"/>
      <c r="B44" t="s">
        <v>44</v>
      </c>
      <c r="C44">
        <v>20.190000000000001</v>
      </c>
    </row>
    <row r="45" spans="1:3" x14ac:dyDescent="0.25">
      <c r="A45" s="2"/>
      <c r="B45" t="s">
        <v>45</v>
      </c>
      <c r="C45">
        <v>21.05</v>
      </c>
    </row>
    <row r="46" spans="1:3" x14ac:dyDescent="0.25">
      <c r="A46" s="2"/>
      <c r="B46" t="s">
        <v>46</v>
      </c>
      <c r="C46">
        <v>17.62</v>
      </c>
    </row>
    <row r="47" spans="1:3" x14ac:dyDescent="0.25">
      <c r="A47" s="2"/>
      <c r="B47" t="s">
        <v>47</v>
      </c>
      <c r="C47">
        <v>18.59</v>
      </c>
    </row>
    <row r="48" spans="1:3" x14ac:dyDescent="0.25">
      <c r="A48" s="2"/>
      <c r="B48" t="s">
        <v>48</v>
      </c>
      <c r="C48">
        <v>19.39</v>
      </c>
    </row>
    <row r="49" spans="1:3" x14ac:dyDescent="0.25">
      <c r="A49" s="2"/>
      <c r="B49" t="s">
        <v>49</v>
      </c>
      <c r="C49">
        <v>22.48</v>
      </c>
    </row>
    <row r="50" spans="1:3" x14ac:dyDescent="0.25">
      <c r="A50" s="2"/>
      <c r="B50" t="s">
        <v>50</v>
      </c>
      <c r="C50">
        <v>21.68</v>
      </c>
    </row>
    <row r="51" spans="1:3" x14ac:dyDescent="0.25">
      <c r="A51" s="2"/>
      <c r="B51" t="s">
        <v>51</v>
      </c>
      <c r="C51">
        <v>23.05</v>
      </c>
    </row>
    <row r="52" spans="1:3" x14ac:dyDescent="0.25">
      <c r="A52" s="2"/>
      <c r="B52" t="s">
        <v>52</v>
      </c>
      <c r="C52">
        <v>21.55</v>
      </c>
    </row>
    <row r="53" spans="1:3" x14ac:dyDescent="0.25">
      <c r="A53" s="2"/>
      <c r="B53" t="s">
        <v>53</v>
      </c>
      <c r="C53">
        <v>20.239999999999998</v>
      </c>
    </row>
    <row r="54" spans="1:3" x14ac:dyDescent="0.25">
      <c r="A54" s="2"/>
      <c r="B54" t="s">
        <v>54</v>
      </c>
      <c r="C54">
        <v>20.97</v>
      </c>
    </row>
    <row r="55" spans="1:3" x14ac:dyDescent="0.25">
      <c r="A55" s="2"/>
      <c r="B55" t="s">
        <v>55</v>
      </c>
      <c r="C55">
        <v>22.66</v>
      </c>
    </row>
    <row r="56" spans="1:3" x14ac:dyDescent="0.25">
      <c r="A56" s="2"/>
      <c r="B56" t="s">
        <v>56</v>
      </c>
      <c r="C56">
        <v>21.89</v>
      </c>
    </row>
  </sheetData>
  <mergeCells count="3">
    <mergeCell ref="A1:A21"/>
    <mergeCell ref="A22:A40"/>
    <mergeCell ref="A41:A5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57D0-C524-4BBA-B1EB-39FA9092FAF5}">
  <dimension ref="A1:E10"/>
  <sheetViews>
    <sheetView workbookViewId="0">
      <selection activeCell="A8" sqref="A8"/>
    </sheetView>
  </sheetViews>
  <sheetFormatPr baseColWidth="10" defaultRowHeight="15" x14ac:dyDescent="0.25"/>
  <cols>
    <col min="1" max="1" width="29.7109375" customWidth="1"/>
    <col min="2" max="2" width="14.85546875" customWidth="1"/>
    <col min="3" max="3" width="21.7109375" customWidth="1"/>
  </cols>
  <sheetData>
    <row r="1" spans="1:5" x14ac:dyDescent="0.25">
      <c r="A1" t="s">
        <v>66</v>
      </c>
    </row>
    <row r="2" spans="1:5" x14ac:dyDescent="0.25">
      <c r="A2" t="s">
        <v>68</v>
      </c>
    </row>
    <row r="3" spans="1:5" x14ac:dyDescent="0.25">
      <c r="A3" t="s">
        <v>67</v>
      </c>
    </row>
    <row r="4" spans="1:5" x14ac:dyDescent="0.25">
      <c r="A4" t="s">
        <v>69</v>
      </c>
    </row>
    <row r="5" spans="1:5" x14ac:dyDescent="0.25">
      <c r="A5" t="s">
        <v>70</v>
      </c>
    </row>
    <row r="6" spans="1:5" x14ac:dyDescent="0.25">
      <c r="A6" t="s">
        <v>71</v>
      </c>
    </row>
    <row r="9" spans="1:5" x14ac:dyDescent="0.25">
      <c r="A9" s="3"/>
      <c r="B9" s="3"/>
      <c r="D9" s="3"/>
      <c r="E9" s="3"/>
    </row>
    <row r="10" spans="1:5" x14ac:dyDescent="0.25">
      <c r="A10" s="3"/>
      <c r="B10" s="3"/>
      <c r="D10" s="3"/>
      <c r="E10" s="3"/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5928-BE30-4494-AF00-D597332ADA2A}">
  <dimension ref="A2:J7"/>
  <sheetViews>
    <sheetView zoomScaleNormal="100" workbookViewId="0">
      <selection activeCell="E3" sqref="E3"/>
    </sheetView>
  </sheetViews>
  <sheetFormatPr baseColWidth="10" defaultRowHeight="15" x14ac:dyDescent="0.25"/>
  <sheetData>
    <row r="2" spans="1:10" x14ac:dyDescent="0.25">
      <c r="A2" t="s">
        <v>72</v>
      </c>
    </row>
    <row r="4" spans="1:10" x14ac:dyDescent="0.25">
      <c r="A4" t="s">
        <v>75</v>
      </c>
    </row>
    <row r="7" spans="1:10" x14ac:dyDescent="0.25">
      <c r="A7" t="s">
        <v>73</v>
      </c>
      <c r="J7" t="s">
        <v>74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7B2B-6F0A-4FED-B4D7-4F6D7FD88FF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Stackup_Impedances</vt:lpstr>
      <vt:lpstr>SDRAM</vt:lpstr>
      <vt:lpstr>Ethernet MDI</vt:lpstr>
      <vt:lpstr>USB+USBC</vt:lpstr>
      <vt:lpstr>Tabelle5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Haid</dc:creator>
  <cp:lastModifiedBy>Patrick Haid</cp:lastModifiedBy>
  <dcterms:created xsi:type="dcterms:W3CDTF">2015-06-05T18:19:34Z</dcterms:created>
  <dcterms:modified xsi:type="dcterms:W3CDTF">2025-05-21T21:24:11Z</dcterms:modified>
</cp:coreProperties>
</file>